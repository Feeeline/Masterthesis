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Felin\Documents\Masterthesis\Simulation_Code\GIT\Sonstiges\"/>
    </mc:Choice>
  </mc:AlternateContent>
  <xr:revisionPtr revIDLastSave="0" documentId="8_{022E680A-EDEF-4B71-9B2F-1F559797D43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nnahmen" sheetId="1" r:id="rId1"/>
    <sheet name="Durchmesser" sheetId="2" r:id="rId2"/>
    <sheet name="Kolonnenkosten" sheetId="3" r:id="rId3"/>
    <sheet name="Hauptapparate_BM" sheetId="4" r:id="rId4"/>
    <sheet name="Investitionen" sheetId="5" r:id="rId5"/>
    <sheet name="Übersicht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I14" i="4"/>
  <c r="H14" i="4"/>
  <c r="D4" i="5" s="1"/>
  <c r="G14" i="4"/>
  <c r="E14" i="4"/>
  <c r="D14" i="4"/>
  <c r="B4" i="5" s="1"/>
  <c r="C14" i="4"/>
  <c r="J12" i="4"/>
  <c r="H12" i="4"/>
  <c r="F12" i="4"/>
  <c r="D12" i="4"/>
  <c r="J11" i="4"/>
  <c r="H11" i="4"/>
  <c r="F11" i="4"/>
  <c r="D11" i="4"/>
  <c r="J10" i="4"/>
  <c r="H10" i="4"/>
  <c r="F10" i="4"/>
  <c r="D10" i="4"/>
  <c r="J9" i="4"/>
  <c r="H9" i="4"/>
  <c r="F9" i="4"/>
  <c r="D9" i="4"/>
  <c r="J8" i="4"/>
  <c r="H8" i="4"/>
  <c r="F8" i="4"/>
  <c r="D8" i="4"/>
  <c r="J7" i="4"/>
  <c r="H7" i="4"/>
  <c r="F7" i="4"/>
  <c r="D7" i="4"/>
  <c r="J6" i="4"/>
  <c r="H6" i="4"/>
  <c r="F6" i="4"/>
  <c r="D6" i="4"/>
  <c r="J5" i="4"/>
  <c r="H5" i="4"/>
  <c r="F5" i="4"/>
  <c r="D5" i="4"/>
  <c r="J4" i="4"/>
  <c r="J14" i="4" s="1"/>
  <c r="E4" i="5" s="1"/>
  <c r="H4" i="4"/>
  <c r="F4" i="4"/>
  <c r="F14" i="4" s="1"/>
  <c r="C4" i="5" s="1"/>
  <c r="D4" i="4"/>
  <c r="L9" i="3"/>
  <c r="K9" i="3"/>
  <c r="M9" i="3" s="1"/>
  <c r="O9" i="3" s="1"/>
  <c r="P9" i="3" s="1"/>
  <c r="E16" i="6" s="1"/>
  <c r="L8" i="3"/>
  <c r="K8" i="3"/>
  <c r="M8" i="3" s="1"/>
  <c r="O8" i="3" s="1"/>
  <c r="P8" i="3" s="1"/>
  <c r="M7" i="3"/>
  <c r="O7" i="3" s="1"/>
  <c r="P7" i="3" s="1"/>
  <c r="L7" i="3"/>
  <c r="K7" i="3"/>
  <c r="M6" i="3"/>
  <c r="O6" i="3" s="1"/>
  <c r="P6" i="3" s="1"/>
  <c r="L6" i="3"/>
  <c r="K6" i="3"/>
  <c r="M5" i="3"/>
  <c r="O5" i="3" s="1"/>
  <c r="P5" i="3" s="1"/>
  <c r="L5" i="3"/>
  <c r="K5" i="3"/>
  <c r="L4" i="3"/>
  <c r="M4" i="3" s="1"/>
  <c r="O4" i="3" s="1"/>
  <c r="P4" i="3" s="1"/>
  <c r="K4" i="3"/>
  <c r="C7" i="1"/>
  <c r="C16" i="3" l="1"/>
  <c r="E12" i="6"/>
  <c r="C13" i="3"/>
  <c r="C5" i="5"/>
  <c r="B5" i="6" s="1"/>
  <c r="G14" i="3"/>
  <c r="B16" i="3"/>
  <c r="G13" i="3"/>
  <c r="E11" i="6"/>
  <c r="B5" i="5"/>
  <c r="B4" i="6" s="1"/>
  <c r="B13" i="3"/>
  <c r="C7" i="6"/>
  <c r="E6" i="5"/>
  <c r="B6" i="5"/>
  <c r="C4" i="6"/>
  <c r="G15" i="3"/>
  <c r="D14" i="3"/>
  <c r="D5" i="5"/>
  <c r="B6" i="6" s="1"/>
  <c r="D16" i="3"/>
  <c r="E13" i="6"/>
  <c r="D6" i="5"/>
  <c r="C6" i="6"/>
  <c r="E14" i="6"/>
  <c r="E5" i="5"/>
  <c r="B7" i="6" s="1"/>
  <c r="G16" i="3"/>
  <c r="D15" i="3"/>
  <c r="E15" i="6"/>
  <c r="C6" i="5"/>
  <c r="C5" i="6"/>
  <c r="B7" i="5" l="1"/>
  <c r="B8" i="5" s="1"/>
  <c r="E7" i="5"/>
  <c r="E8" i="5"/>
  <c r="C8" i="5"/>
  <c r="C7" i="5"/>
  <c r="D7" i="5"/>
  <c r="D8" i="5" s="1"/>
  <c r="D10" i="5" l="1"/>
  <c r="D9" i="5"/>
  <c r="D11" i="5" s="1"/>
  <c r="D6" i="6"/>
  <c r="B10" i="5"/>
  <c r="D4" i="6"/>
  <c r="B9" i="5"/>
  <c r="B11" i="5" s="1"/>
  <c r="C10" i="5"/>
  <c r="C11" i="5" s="1"/>
  <c r="D5" i="6"/>
  <c r="C9" i="5"/>
  <c r="E10" i="5"/>
  <c r="E9" i="5"/>
  <c r="E11" i="5" s="1"/>
  <c r="D7" i="6"/>
  <c r="E7" i="6" l="1"/>
  <c r="E12" i="5"/>
  <c r="C12" i="5"/>
  <c r="E5" i="6"/>
  <c r="B12" i="5"/>
  <c r="E4" i="6"/>
  <c r="E6" i="6"/>
  <c r="D12" i="5"/>
</calcChain>
</file>

<file path=xl/sharedStrings.xml><?xml version="1.0" encoding="utf-8"?>
<sst xmlns="http://schemas.openxmlformats.org/spreadsheetml/2006/main" count="183" uniqueCount="132">
  <si>
    <t>Kostenmodell und zentrale Annahmen</t>
  </si>
  <si>
    <t>Parameter</t>
  </si>
  <si>
    <t>Symbol</t>
  </si>
  <si>
    <t>Wert</t>
  </si>
  <si>
    <t>Einheit / Hinweis</t>
  </si>
  <si>
    <t>CEPCI Bezugsjahr</t>
  </si>
  <si>
    <t>CEPCI_2026</t>
  </si>
  <si>
    <t>Bezugsjahr 2026</t>
  </si>
  <si>
    <t>CEPCI Referenzjahr Peters</t>
  </si>
  <si>
    <t>CEPCI_2002</t>
  </si>
  <si>
    <t>Preisstand Januar 2002</t>
  </si>
  <si>
    <t>Wechselkurs</t>
  </si>
  <si>
    <t>EUR/USD</t>
  </si>
  <si>
    <t>1 USD = 0,8546 EUR</t>
  </si>
  <si>
    <t>CEPCI-/Wechselkursfaktor</t>
  </si>
  <si>
    <t>k_2002→2026</t>
  </si>
  <si>
    <t>Multiplikator für USD_2002 → EUR_2026</t>
  </si>
  <si>
    <t>Materialfaktor Mantel</t>
  </si>
  <si>
    <t>F_M,shell</t>
  </si>
  <si>
    <t>316 Stainless Steel</t>
  </si>
  <si>
    <t>Materialfaktor Packung</t>
  </si>
  <si>
    <t>F_M,packing</t>
  </si>
  <si>
    <t>Druckfaktor</t>
  </si>
  <si>
    <t>F_p</t>
  </si>
  <si>
    <t>p &lt; 10,35 bar; keine Druckkorrektur</t>
  </si>
  <si>
    <t>Bare-Module-Faktor Kolonnen</t>
  </si>
  <si>
    <t>F_BM,column</t>
  </si>
  <si>
    <t>nach Tesch/Guthrie</t>
  </si>
  <si>
    <t>Bare-Module-Faktor Hauptapparate</t>
  </si>
  <si>
    <t>f_BM</t>
  </si>
  <si>
    <t>einheitlicher Näherungswert</t>
  </si>
  <si>
    <t>PPU-Zuschlag</t>
  </si>
  <si>
    <t>f_PPU</t>
  </si>
  <si>
    <t>Luftvorreinigung, analog Tesch</t>
  </si>
  <si>
    <t>Service Facilities / Architectural Work</t>
  </si>
  <si>
    <t>f_SF/Arch</t>
  </si>
  <si>
    <t>auf C_BM,tot</t>
  </si>
  <si>
    <t>Unvorhergesehenes</t>
  </si>
  <si>
    <t>f_cont</t>
  </si>
  <si>
    <t>Kolonnenhöhe</t>
  </si>
  <si>
    <t>H_Kolonne</t>
  </si>
  <si>
    <t>m</t>
  </si>
  <si>
    <t>Packungshöhe</t>
  </si>
  <si>
    <t>H_Packung</t>
  </si>
  <si>
    <t>Kolonnendurchmesser aus maximaler Gasbelastung</t>
  </si>
  <si>
    <t>Variante</t>
  </si>
  <si>
    <t>Kolonne</t>
  </si>
  <si>
    <t>n_g,max [kmol/s]</t>
  </si>
  <si>
    <t>T [K]</t>
  </si>
  <si>
    <t>p [bar]</t>
  </si>
  <si>
    <t>V_g [m³/s]</t>
  </si>
  <si>
    <t>A [m²]</t>
  </si>
  <si>
    <t>D [m]</t>
  </si>
  <si>
    <t>Einkolonnenmodell groß</t>
  </si>
  <si>
    <t>Single</t>
  </si>
  <si>
    <t>Einkolonnenmodell klein</t>
  </si>
  <si>
    <t>Doppelkolonnenmodell groß</t>
  </si>
  <si>
    <t>HPC</t>
  </si>
  <si>
    <t>Doppelkolonnenmodell klein</t>
  </si>
  <si>
    <t>LPC</t>
  </si>
  <si>
    <t>Ablesungen und Berechnung der Bare-Module-Kosten der Packungskolonnen</t>
  </si>
  <si>
    <t>D gerundet [m]</t>
  </si>
  <si>
    <t>H Kolonne [m]</t>
  </si>
  <si>
    <t>H Packung [m]</t>
  </si>
  <si>
    <t>C_shell,0 abgelesen [USD_2002]</t>
  </si>
  <si>
    <t>C_packing,0 abgelesen [USD_2002]</t>
  </si>
  <si>
    <t>C_shell [USD_2002]</t>
  </si>
  <si>
    <t>C_packing [USD_2002]</t>
  </si>
  <si>
    <t>C_purchased [USD_2002]</t>
  </si>
  <si>
    <t>F_BM</t>
  </si>
  <si>
    <t>C_BM,2002 [USD_2002]</t>
  </si>
  <si>
    <t>C_BM,2026 [EUR]</t>
  </si>
  <si>
    <t>Kolonnenblock</t>
  </si>
  <si>
    <t>Einzel groß</t>
  </si>
  <si>
    <t>Einzel klein</t>
  </si>
  <si>
    <t>Doppel groß / klein</t>
  </si>
  <si>
    <t>Modell</t>
  </si>
  <si>
    <t>C_BM Kolonnen [EUR]</t>
  </si>
  <si>
    <t>Quelle/Ablesung</t>
  </si>
  <si>
    <t>-</t>
  </si>
  <si>
    <t>Einkolonne groß</t>
  </si>
  <si>
    <t>Peters Fig. 15-11/15-14</t>
  </si>
  <si>
    <t>Einkolonne klein</t>
  </si>
  <si>
    <t>Doppelkolonne groß</t>
  </si>
  <si>
    <t>HPC + LPC</t>
  </si>
  <si>
    <t>Summe</t>
  </si>
  <si>
    <t>Doppelkolonne klein</t>
  </si>
  <si>
    <t>PEC-Basiswerte der Hauptapparate und Überführung in Bare-Module-Kosten</t>
  </si>
  <si>
    <t>Kostenblock</t>
  </si>
  <si>
    <t>Komponente</t>
  </si>
  <si>
    <t>PEC Einzel groß</t>
  </si>
  <si>
    <t>C_BM Einzel groß</t>
  </si>
  <si>
    <t>PEC Einzel klein</t>
  </si>
  <si>
    <t>C_BM Einzel klein</t>
  </si>
  <si>
    <t>PEC Doppel groß</t>
  </si>
  <si>
    <t>C_BM Doppel groß</t>
  </si>
  <si>
    <t>PEC Doppel klein</t>
  </si>
  <si>
    <t>C_BM Doppel klein</t>
  </si>
  <si>
    <t>Luftverdichtung</t>
  </si>
  <si>
    <t>LK1</t>
  </si>
  <si>
    <t>LK2</t>
  </si>
  <si>
    <t>Produkt-/Prozessverdichtung</t>
  </si>
  <si>
    <t>PK1</t>
  </si>
  <si>
    <t>Expansion/Kältebereitstellung</t>
  </si>
  <si>
    <t>TURB/T</t>
  </si>
  <si>
    <t>Zwischenkühlung</t>
  </si>
  <si>
    <t>ZK1</t>
  </si>
  <si>
    <t>ZK2</t>
  </si>
  <si>
    <t>Hauptwärmeübertrager</t>
  </si>
  <si>
    <t>MH/MW</t>
  </si>
  <si>
    <t>Reboiler/Kondensator</t>
  </si>
  <si>
    <t>RECO/RC</t>
  </si>
  <si>
    <t>RC2</t>
  </si>
  <si>
    <t>Zusammenführung der Bare-Module-Kosten und Berechnung des FCI</t>
  </si>
  <si>
    <t>Kostenposition</t>
  </si>
  <si>
    <t>Doppel groß</t>
  </si>
  <si>
    <t>Doppel klein</t>
  </si>
  <si>
    <t>Bare-Module-Kosten Hauptapparate</t>
  </si>
  <si>
    <t>Summe ohne Luftvorreinigung</t>
  </si>
  <si>
    <t>Luftvorreinigung (8 %)</t>
  </si>
  <si>
    <t>Summe Bare-Module-Kosten C_BM,tot</t>
  </si>
  <si>
    <t>Service Facilities / Architectural Work (25 %)</t>
  </si>
  <si>
    <t>Unvorhergesehenes (10 %)</t>
  </si>
  <si>
    <t>Fixed Capital Investment FCI</t>
  </si>
  <si>
    <t>TCI ≈ FCI</t>
  </si>
  <si>
    <t>Übersicht der Kolonnenablesungen und Investitionskosten</t>
  </si>
  <si>
    <t>Kolonnenblock [EUR]</t>
  </si>
  <si>
    <t>Hauptapparate C_BM [EUR]</t>
  </si>
  <si>
    <t>C_BM,tot inkl. PPU [EUR]</t>
  </si>
  <si>
    <t>FCI / TCI [EUR]</t>
  </si>
  <si>
    <t>C_shell,0 [USD_2002]</t>
  </si>
  <si>
    <t>C_packing,0 [USD_2002]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</si>
</sst>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0.0"/>
  </numFmts>
  <fonts count="7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b/>
      <sz val="16"/>
      <color rgb="FF1F4E78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/>
    <xf numFmtId="0" fontId="2" fillId="3" borderId="0" xfId="1" applyFont="1" applyFill="1" applyAlignment="1">
      <alignment horizontal="center" vertical="center" wrapText="1"/>
    </xf>
    <xf numFmtId="3" fontId="0" fillId="0" borderId="0" xfId="1" applyNumberFormat="1" applyFont="1"/>
    <xf numFmtId="3" fontId="2" fillId="3" borderId="0" xfId="1" applyNumberFormat="1" applyFont="1" applyFill="1" applyAlignment="1">
      <alignment horizontal="center" vertical="center" wrapText="1"/>
    </xf>
    <xf numFmtId="166" fontId="0" fillId="0" borderId="0" xfId="1" applyNumberFormat="1" applyFont="1"/>
    <xf numFmtId="0" fontId="4" fillId="0" borderId="0" xfId="1" applyFont="1"/>
    <xf numFmtId="3" fontId="4" fillId="0" borderId="0" xfId="1" applyNumberFormat="1" applyFont="1"/>
    <xf numFmtId="0" fontId="1" fillId="0" borderId="0" xfId="1" applyFont="1"/>
    <xf numFmtId="0" fontId="0" fillId="0" borderId="0" xfId="0"/>
    <xf numFmtId="0" fontId="3" fillId="0" borderId="0" xfId="1" applyFont="1"/>
    <xf numFmtId="0" fontId="5" fillId="0" borderId="0" xfId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16" sqref="C16"/>
    </sheetView>
  </sheetViews>
  <sheetFormatPr baseColWidth="10" defaultColWidth="8.796875" defaultRowHeight="13.8"/>
  <cols>
    <col min="1" max="1" width="34" customWidth="1"/>
    <col min="2" max="2" width="11.59765625" customWidth="1"/>
    <col min="3" max="3" width="14.5" customWidth="1"/>
    <col min="4" max="4" width="58" customWidth="1"/>
  </cols>
  <sheetData>
    <row r="1" spans="1:4" ht="13.35" customHeight="1">
      <c r="A1" s="10" t="s">
        <v>0</v>
      </c>
      <c r="B1" s="11"/>
      <c r="C1" s="11"/>
      <c r="D1" s="11"/>
    </row>
    <row r="3" spans="1:4" ht="12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12" customHeight="1">
      <c r="A4" t="s">
        <v>5</v>
      </c>
      <c r="B4" t="s">
        <v>6</v>
      </c>
      <c r="C4" s="2">
        <v>840.6</v>
      </c>
      <c r="D4" t="s">
        <v>7</v>
      </c>
    </row>
    <row r="5" spans="1:4" ht="12" customHeight="1">
      <c r="A5" t="s">
        <v>8</v>
      </c>
      <c r="B5" t="s">
        <v>9</v>
      </c>
      <c r="C5" s="2">
        <v>390.4</v>
      </c>
      <c r="D5" t="s">
        <v>10</v>
      </c>
    </row>
    <row r="6" spans="1:4" ht="12" customHeight="1">
      <c r="A6" t="s">
        <v>11</v>
      </c>
      <c r="B6" t="s">
        <v>12</v>
      </c>
      <c r="C6" s="2">
        <v>0.85460000000000003</v>
      </c>
      <c r="D6" t="s">
        <v>13</v>
      </c>
    </row>
    <row r="7" spans="1:4" ht="12" customHeight="1">
      <c r="A7" t="s">
        <v>14</v>
      </c>
      <c r="B7" t="s">
        <v>15</v>
      </c>
      <c r="C7" s="2">
        <f>C4/C5*C6</f>
        <v>1.8401044057377054</v>
      </c>
      <c r="D7" t="s">
        <v>16</v>
      </c>
    </row>
    <row r="8" spans="1:4" ht="12" customHeight="1">
      <c r="A8" t="s">
        <v>17</v>
      </c>
      <c r="B8" t="s">
        <v>18</v>
      </c>
      <c r="C8" s="2">
        <v>3</v>
      </c>
      <c r="D8" t="s">
        <v>19</v>
      </c>
    </row>
    <row r="9" spans="1:4" ht="12" customHeight="1">
      <c r="A9" t="s">
        <v>20</v>
      </c>
      <c r="B9" t="s">
        <v>21</v>
      </c>
      <c r="C9" s="2">
        <v>4.2</v>
      </c>
      <c r="D9" t="s">
        <v>19</v>
      </c>
    </row>
    <row r="10" spans="1:4" ht="12" customHeight="1">
      <c r="A10" t="s">
        <v>22</v>
      </c>
      <c r="B10" t="s">
        <v>23</v>
      </c>
      <c r="C10" s="2">
        <v>1</v>
      </c>
      <c r="D10" t="s">
        <v>24</v>
      </c>
    </row>
    <row r="11" spans="1:4" ht="12" customHeight="1">
      <c r="A11" t="s">
        <v>25</v>
      </c>
      <c r="B11" t="s">
        <v>26</v>
      </c>
      <c r="C11" s="2">
        <v>4.3</v>
      </c>
      <c r="D11" t="s">
        <v>27</v>
      </c>
    </row>
    <row r="12" spans="1:4" ht="12" customHeight="1">
      <c r="A12" t="s">
        <v>28</v>
      </c>
      <c r="B12" t="s">
        <v>29</v>
      </c>
      <c r="C12" s="2">
        <v>2.56</v>
      </c>
      <c r="D12" t="s">
        <v>30</v>
      </c>
    </row>
    <row r="13" spans="1:4" ht="12" customHeight="1">
      <c r="A13" t="s">
        <v>31</v>
      </c>
      <c r="B13" t="s">
        <v>32</v>
      </c>
      <c r="C13" s="2">
        <v>0.08</v>
      </c>
      <c r="D13" t="s">
        <v>33</v>
      </c>
    </row>
    <row r="14" spans="1:4" ht="12" customHeight="1">
      <c r="A14" t="s">
        <v>34</v>
      </c>
      <c r="B14" t="s">
        <v>35</v>
      </c>
      <c r="C14" s="2">
        <v>0.25</v>
      </c>
      <c r="D14" t="s">
        <v>36</v>
      </c>
    </row>
    <row r="15" spans="1:4" ht="12" customHeight="1">
      <c r="A15" t="s">
        <v>37</v>
      </c>
      <c r="B15" t="s">
        <v>38</v>
      </c>
      <c r="C15" s="2">
        <v>0.1</v>
      </c>
      <c r="D15" t="s">
        <v>36</v>
      </c>
    </row>
    <row r="16" spans="1:4" ht="12" customHeight="1">
      <c r="A16" t="s">
        <v>39</v>
      </c>
      <c r="B16" t="s">
        <v>40</v>
      </c>
      <c r="C16" s="2">
        <v>19.5</v>
      </c>
      <c r="D16" t="s">
        <v>41</v>
      </c>
    </row>
    <row r="17" spans="1:4" ht="12" customHeight="1">
      <c r="A17" t="s">
        <v>42</v>
      </c>
      <c r="B17" t="s">
        <v>43</v>
      </c>
      <c r="C17" s="2">
        <v>15</v>
      </c>
      <c r="D17" t="s">
        <v>41</v>
      </c>
    </row>
    <row r="19" spans="1:4" ht="12" customHeight="1">
      <c r="A19" s="12"/>
      <c r="B19" s="11"/>
      <c r="C19" s="11"/>
      <c r="D19" s="11"/>
    </row>
    <row r="20" spans="1:4" ht="12" customHeight="1">
      <c r="A20" s="12"/>
      <c r="B20" s="11"/>
      <c r="C20" s="11"/>
      <c r="D20" s="11"/>
    </row>
  </sheetData>
  <mergeCells count="3">
    <mergeCell ref="A1:D1"/>
    <mergeCell ref="A19:D19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H1"/>
    </sheetView>
  </sheetViews>
  <sheetFormatPr baseColWidth="10" defaultColWidth="8.796875" defaultRowHeight="13.8"/>
  <cols>
    <col min="1" max="1" width="28" customWidth="1"/>
    <col min="2" max="2" width="6.69921875" customWidth="1"/>
    <col min="3" max="3" width="14.296875" customWidth="1"/>
    <col min="4" max="4" width="11.19921875" customWidth="1"/>
    <col min="5" max="5" width="5.3984375" customWidth="1"/>
    <col min="6" max="6" width="8.19921875" customWidth="1"/>
    <col min="7" max="7" width="8.59765625" customWidth="1"/>
    <col min="8" max="8" width="9.69921875" customWidth="1"/>
  </cols>
  <sheetData>
    <row r="1" spans="1:8" ht="13.35" customHeight="1">
      <c r="A1" s="10" t="s">
        <v>44</v>
      </c>
      <c r="B1" s="11"/>
      <c r="C1" s="11"/>
      <c r="D1" s="11"/>
      <c r="E1" s="11"/>
      <c r="F1" s="11"/>
      <c r="G1" s="11"/>
      <c r="H1" s="11"/>
    </row>
    <row r="3" spans="1:8" ht="12" customHeight="1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12" customHeight="1">
      <c r="A4" t="s">
        <v>53</v>
      </c>
      <c r="B4" t="s">
        <v>54</v>
      </c>
      <c r="C4" s="3">
        <v>1.704</v>
      </c>
      <c r="D4" s="3">
        <v>97</v>
      </c>
      <c r="E4" s="3">
        <v>6.12</v>
      </c>
      <c r="F4" s="3">
        <v>2.2400000000000002</v>
      </c>
      <c r="G4" s="3">
        <v>3.73</v>
      </c>
      <c r="H4" s="3">
        <v>2.1800000000000002</v>
      </c>
    </row>
    <row r="5" spans="1:8" ht="12" customHeight="1">
      <c r="A5" t="s">
        <v>55</v>
      </c>
      <c r="B5" t="s">
        <v>54</v>
      </c>
      <c r="C5" s="3">
        <v>0.498</v>
      </c>
      <c r="D5" s="3">
        <v>96.8</v>
      </c>
      <c r="E5" s="3">
        <v>6.12</v>
      </c>
      <c r="F5" s="3">
        <v>0.65500000000000003</v>
      </c>
      <c r="G5" s="3">
        <v>1.0900000000000001</v>
      </c>
      <c r="H5" s="3">
        <v>1.18</v>
      </c>
    </row>
    <row r="6" spans="1:8" ht="12" customHeight="1">
      <c r="A6" t="s">
        <v>56</v>
      </c>
      <c r="B6" t="s">
        <v>57</v>
      </c>
      <c r="C6" s="3">
        <v>0.92300000000000004</v>
      </c>
      <c r="D6" s="3">
        <v>96.8</v>
      </c>
      <c r="E6" s="3">
        <v>6.12</v>
      </c>
      <c r="F6" s="3">
        <v>1.21</v>
      </c>
      <c r="G6" s="3">
        <v>2.02</v>
      </c>
      <c r="H6" s="3">
        <v>1.6</v>
      </c>
    </row>
    <row r="7" spans="1:8" ht="12" customHeight="1">
      <c r="A7" t="s">
        <v>58</v>
      </c>
      <c r="B7" t="s">
        <v>57</v>
      </c>
      <c r="C7" s="3">
        <v>0.27</v>
      </c>
      <c r="D7" s="3">
        <v>96.8</v>
      </c>
      <c r="E7" s="3">
        <v>6.12</v>
      </c>
      <c r="F7" s="3">
        <v>0.35499999999999998</v>
      </c>
      <c r="G7" s="3">
        <v>0.59199999999999997</v>
      </c>
      <c r="H7" s="3">
        <v>0.87</v>
      </c>
    </row>
    <row r="8" spans="1:8" ht="12" customHeight="1">
      <c r="A8" t="s">
        <v>56</v>
      </c>
      <c r="B8" t="s">
        <v>59</v>
      </c>
      <c r="C8" s="3">
        <v>0.83399999999999996</v>
      </c>
      <c r="D8" s="3">
        <v>88.4</v>
      </c>
      <c r="E8" s="3">
        <v>3.11</v>
      </c>
      <c r="F8" s="3">
        <v>1.97</v>
      </c>
      <c r="G8" s="3">
        <v>3.29</v>
      </c>
      <c r="H8" s="3">
        <v>2.0499999999999998</v>
      </c>
    </row>
    <row r="9" spans="1:8" ht="12" customHeight="1">
      <c r="A9" t="s">
        <v>58</v>
      </c>
      <c r="B9" t="s">
        <v>59</v>
      </c>
      <c r="C9" s="3">
        <v>0.24399999999999999</v>
      </c>
      <c r="D9" s="3">
        <v>88.4</v>
      </c>
      <c r="E9" s="3">
        <v>3.11</v>
      </c>
      <c r="F9" s="3">
        <v>0.57699999999999996</v>
      </c>
      <c r="G9" s="3">
        <v>0.96199999999999997</v>
      </c>
      <c r="H9" s="3">
        <v>1.1100000000000001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workbookViewId="0">
      <selection activeCell="A18" sqref="A18:P18"/>
    </sheetView>
  </sheetViews>
  <sheetFormatPr baseColWidth="10" defaultColWidth="8.796875" defaultRowHeight="13.8"/>
  <cols>
    <col min="1" max="1" width="28" customWidth="1"/>
    <col min="2" max="2" width="10.3984375" customWidth="1"/>
    <col min="3" max="3" width="12.3984375" customWidth="1"/>
    <col min="4" max="4" width="35.5" customWidth="1"/>
    <col min="5" max="5" width="11.69921875" customWidth="1"/>
    <col min="6" max="7" width="18" customWidth="1"/>
    <col min="8" max="8" width="18.59765625" customWidth="1"/>
    <col min="9" max="10" width="11.69921875" customWidth="1"/>
    <col min="11" max="11" width="15.8984375" customWidth="1"/>
    <col min="12" max="12" width="18.3984375" customWidth="1"/>
    <col min="13" max="13" width="20.59765625" customWidth="1"/>
    <col min="14" max="14" width="4.69921875" customWidth="1"/>
    <col min="15" max="15" width="19.5" customWidth="1"/>
    <col min="16" max="16" width="18" customWidth="1"/>
  </cols>
  <sheetData>
    <row r="1" spans="1:16" ht="13.35" customHeight="1">
      <c r="A1" s="10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ht="12" customHeight="1">
      <c r="A3" s="1" t="s">
        <v>45</v>
      </c>
      <c r="B3" s="1" t="s">
        <v>46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18</v>
      </c>
      <c r="I3" s="1" t="s">
        <v>21</v>
      </c>
      <c r="J3" s="1" t="s">
        <v>23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</row>
    <row r="4" spans="1:16" ht="12" customHeight="1">
      <c r="A4" t="s">
        <v>53</v>
      </c>
      <c r="B4" t="s">
        <v>54</v>
      </c>
      <c r="C4" s="7">
        <v>2.2000000000000002</v>
      </c>
      <c r="D4" s="7">
        <v>19.5</v>
      </c>
      <c r="E4" s="7">
        <v>15</v>
      </c>
      <c r="F4" s="5">
        <v>70000</v>
      </c>
      <c r="G4" s="5">
        <v>25000</v>
      </c>
      <c r="H4" s="7">
        <v>3</v>
      </c>
      <c r="I4" s="7">
        <v>4.2</v>
      </c>
      <c r="J4" s="7">
        <v>1</v>
      </c>
      <c r="K4" s="5">
        <f t="shared" ref="K4:K9" si="0">F4*H4*J4</f>
        <v>210000</v>
      </c>
      <c r="L4" s="5">
        <f t="shared" ref="L4:L9" si="1">G4*I4</f>
        <v>105000</v>
      </c>
      <c r="M4" s="5">
        <f t="shared" ref="M4:M9" si="2">K4+L4</f>
        <v>315000</v>
      </c>
      <c r="N4" s="7">
        <v>4.3</v>
      </c>
      <c r="O4" s="5">
        <f t="shared" ref="O4:O9" si="3">M4*N4</f>
        <v>1354500</v>
      </c>
      <c r="P4" s="5">
        <f>O4*Annahmen!$C$7</f>
        <v>2492421.4175717221</v>
      </c>
    </row>
    <row r="5" spans="1:16" ht="12" customHeight="1">
      <c r="A5" t="s">
        <v>55</v>
      </c>
      <c r="B5" t="s">
        <v>54</v>
      </c>
      <c r="C5" s="7">
        <v>1.2</v>
      </c>
      <c r="D5" s="7">
        <v>19.5</v>
      </c>
      <c r="E5" s="7">
        <v>15</v>
      </c>
      <c r="F5" s="5">
        <v>25000</v>
      </c>
      <c r="G5" s="5">
        <v>15000</v>
      </c>
      <c r="H5" s="7">
        <v>3</v>
      </c>
      <c r="I5" s="7">
        <v>4.2</v>
      </c>
      <c r="J5" s="7">
        <v>1</v>
      </c>
      <c r="K5" s="5">
        <f t="shared" si="0"/>
        <v>75000</v>
      </c>
      <c r="L5" s="5">
        <f t="shared" si="1"/>
        <v>63000</v>
      </c>
      <c r="M5" s="5">
        <f t="shared" si="2"/>
        <v>138000</v>
      </c>
      <c r="N5" s="7">
        <v>4.3</v>
      </c>
      <c r="O5" s="5">
        <f t="shared" si="3"/>
        <v>593400</v>
      </c>
      <c r="P5" s="5">
        <f>O5*Annahmen!$C$7</f>
        <v>1091917.9543647545</v>
      </c>
    </row>
    <row r="6" spans="1:16" ht="12" customHeight="1">
      <c r="A6" t="s">
        <v>56</v>
      </c>
      <c r="B6" t="s">
        <v>57</v>
      </c>
      <c r="C6" s="7">
        <v>1.6</v>
      </c>
      <c r="D6" s="7">
        <v>19.5</v>
      </c>
      <c r="E6" s="7">
        <v>15</v>
      </c>
      <c r="F6" s="5">
        <v>45000</v>
      </c>
      <c r="G6" s="5">
        <v>18000</v>
      </c>
      <c r="H6" s="7">
        <v>3</v>
      </c>
      <c r="I6" s="7">
        <v>4.2</v>
      </c>
      <c r="J6" s="7">
        <v>1</v>
      </c>
      <c r="K6" s="5">
        <f t="shared" si="0"/>
        <v>135000</v>
      </c>
      <c r="L6" s="5">
        <f t="shared" si="1"/>
        <v>75600</v>
      </c>
      <c r="M6" s="5">
        <f t="shared" si="2"/>
        <v>210600</v>
      </c>
      <c r="N6" s="7">
        <v>4.3</v>
      </c>
      <c r="O6" s="5">
        <f t="shared" si="3"/>
        <v>905580</v>
      </c>
      <c r="P6" s="5">
        <f>O6*Annahmen!$C$7</f>
        <v>1666361.7477479512</v>
      </c>
    </row>
    <row r="7" spans="1:16" ht="12" customHeight="1">
      <c r="A7" t="s">
        <v>58</v>
      </c>
      <c r="B7" t="s">
        <v>57</v>
      </c>
      <c r="C7" s="7">
        <v>0.9</v>
      </c>
      <c r="D7" s="7">
        <v>19.5</v>
      </c>
      <c r="E7" s="7">
        <v>15</v>
      </c>
      <c r="F7" s="5">
        <v>20000</v>
      </c>
      <c r="G7" s="5">
        <v>12000</v>
      </c>
      <c r="H7" s="7">
        <v>3</v>
      </c>
      <c r="I7" s="7">
        <v>4.2</v>
      </c>
      <c r="J7" s="7">
        <v>1</v>
      </c>
      <c r="K7" s="5">
        <f t="shared" si="0"/>
        <v>60000</v>
      </c>
      <c r="L7" s="5">
        <f t="shared" si="1"/>
        <v>50400</v>
      </c>
      <c r="M7" s="5">
        <f t="shared" si="2"/>
        <v>110400</v>
      </c>
      <c r="N7" s="7">
        <v>4.3</v>
      </c>
      <c r="O7" s="5">
        <f t="shared" si="3"/>
        <v>474720</v>
      </c>
      <c r="P7" s="5">
        <f>O7*Annahmen!$C$7</f>
        <v>873534.36349180352</v>
      </c>
    </row>
    <row r="8" spans="1:16" ht="12" customHeight="1">
      <c r="A8" t="s">
        <v>56</v>
      </c>
      <c r="B8" t="s">
        <v>59</v>
      </c>
      <c r="C8" s="7">
        <v>2.1</v>
      </c>
      <c r="D8" s="7">
        <v>19.5</v>
      </c>
      <c r="E8" s="7">
        <v>15</v>
      </c>
      <c r="F8" s="5">
        <v>65000</v>
      </c>
      <c r="G8" s="5">
        <v>24000</v>
      </c>
      <c r="H8" s="7">
        <v>3</v>
      </c>
      <c r="I8" s="7">
        <v>4.2</v>
      </c>
      <c r="J8" s="7">
        <v>1</v>
      </c>
      <c r="K8" s="5">
        <f t="shared" si="0"/>
        <v>195000</v>
      </c>
      <c r="L8" s="5">
        <f t="shared" si="1"/>
        <v>100800</v>
      </c>
      <c r="M8" s="5">
        <f t="shared" si="2"/>
        <v>295800</v>
      </c>
      <c r="N8" s="7">
        <v>4.3</v>
      </c>
      <c r="O8" s="5">
        <f t="shared" si="3"/>
        <v>1271940</v>
      </c>
      <c r="P8" s="5">
        <f>O8*Annahmen!$C$7</f>
        <v>2340502.3978340169</v>
      </c>
    </row>
    <row r="9" spans="1:16" ht="12" customHeight="1">
      <c r="A9" t="s">
        <v>58</v>
      </c>
      <c r="B9" t="s">
        <v>59</v>
      </c>
      <c r="C9" s="7">
        <v>1.1000000000000001</v>
      </c>
      <c r="D9" s="7">
        <v>19.5</v>
      </c>
      <c r="E9" s="7">
        <v>15</v>
      </c>
      <c r="F9" s="5">
        <v>23000</v>
      </c>
      <c r="G9" s="5">
        <v>14000</v>
      </c>
      <c r="H9" s="7">
        <v>3</v>
      </c>
      <c r="I9" s="7">
        <v>4.2</v>
      </c>
      <c r="J9" s="7">
        <v>1</v>
      </c>
      <c r="K9" s="5">
        <f t="shared" si="0"/>
        <v>69000</v>
      </c>
      <c r="L9" s="5">
        <f t="shared" si="1"/>
        <v>58800</v>
      </c>
      <c r="M9" s="5">
        <f t="shared" si="2"/>
        <v>127800</v>
      </c>
      <c r="N9" s="7">
        <v>4.3</v>
      </c>
      <c r="O9" s="5">
        <f t="shared" si="3"/>
        <v>549540</v>
      </c>
      <c r="P9" s="5">
        <f>O9*Annahmen!$C$7</f>
        <v>1011210.9751290986</v>
      </c>
    </row>
    <row r="10" spans="1:16" ht="12" customHeight="1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2" customHeight="1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2" customHeight="1">
      <c r="A12" s="4" t="s">
        <v>72</v>
      </c>
      <c r="B12" s="4" t="s">
        <v>73</v>
      </c>
      <c r="C12" s="6" t="s">
        <v>74</v>
      </c>
      <c r="D12" s="6" t="s">
        <v>75</v>
      </c>
      <c r="E12" s="5"/>
      <c r="F12" s="6" t="s">
        <v>76</v>
      </c>
      <c r="G12" s="6" t="s">
        <v>77</v>
      </c>
      <c r="H12" s="6" t="s">
        <v>78</v>
      </c>
      <c r="I12" s="6" t="s">
        <v>62</v>
      </c>
      <c r="J12" s="6" t="s">
        <v>63</v>
      </c>
      <c r="K12" s="5"/>
      <c r="L12" s="5"/>
      <c r="M12" s="5"/>
      <c r="N12" s="5"/>
      <c r="O12" s="5"/>
      <c r="P12" s="5"/>
    </row>
    <row r="13" spans="1:16" ht="12" customHeight="1">
      <c r="A13" t="s">
        <v>54</v>
      </c>
      <c r="B13">
        <f>P4</f>
        <v>2492421.4175717221</v>
      </c>
      <c r="C13" s="5">
        <f>P5</f>
        <v>1091917.9543647545</v>
      </c>
      <c r="D13" s="5" t="s">
        <v>79</v>
      </c>
      <c r="E13" s="5"/>
      <c r="F13" s="5" t="s">
        <v>80</v>
      </c>
      <c r="G13" s="5">
        <f>P4</f>
        <v>2492421.4175717221</v>
      </c>
      <c r="H13" s="5" t="s">
        <v>81</v>
      </c>
      <c r="I13" s="5">
        <v>19.5</v>
      </c>
      <c r="J13" s="5">
        <v>15</v>
      </c>
      <c r="K13" s="5"/>
      <c r="L13" s="5"/>
      <c r="M13" s="5"/>
      <c r="N13" s="5"/>
      <c r="O13" s="5"/>
      <c r="P13" s="5"/>
    </row>
    <row r="14" spans="1:16" ht="12" customHeight="1">
      <c r="A14" t="s">
        <v>57</v>
      </c>
      <c r="B14" t="s">
        <v>79</v>
      </c>
      <c r="C14" s="5" t="s">
        <v>79</v>
      </c>
      <c r="D14" s="5" t="str">
        <f>P6 &amp; " / " &amp; P7</f>
        <v>1666361,74774795 / 873534,363491804</v>
      </c>
      <c r="E14" s="5"/>
      <c r="F14" s="5" t="s">
        <v>82</v>
      </c>
      <c r="G14" s="5">
        <f>P5</f>
        <v>1091917.9543647545</v>
      </c>
      <c r="H14" s="5" t="s">
        <v>81</v>
      </c>
      <c r="I14" s="5">
        <v>19.5</v>
      </c>
      <c r="J14" s="5">
        <v>15</v>
      </c>
      <c r="K14" s="5"/>
      <c r="L14" s="5"/>
      <c r="M14" s="5"/>
      <c r="N14" s="5"/>
      <c r="O14" s="5"/>
      <c r="P14" s="5"/>
    </row>
    <row r="15" spans="1:16" ht="12" customHeight="1">
      <c r="A15" t="s">
        <v>59</v>
      </c>
      <c r="B15" t="s">
        <v>79</v>
      </c>
      <c r="C15" s="5" t="s">
        <v>79</v>
      </c>
      <c r="D15" s="5" t="str">
        <f>P8 &amp; " / " &amp; P9</f>
        <v>2340502,39783402 / 1011210,9751291</v>
      </c>
      <c r="E15" s="5"/>
      <c r="F15" s="5" t="s">
        <v>83</v>
      </c>
      <c r="G15" s="5">
        <f>P6+P8</f>
        <v>4006864.1455819681</v>
      </c>
      <c r="H15" s="5" t="s">
        <v>84</v>
      </c>
      <c r="I15" s="5">
        <v>19.5</v>
      </c>
      <c r="J15" s="5">
        <v>15</v>
      </c>
      <c r="K15" s="5"/>
      <c r="L15" s="5"/>
      <c r="M15" s="5"/>
      <c r="N15" s="5"/>
      <c r="O15" s="5"/>
      <c r="P15" s="5"/>
    </row>
    <row r="16" spans="1:16" ht="12" customHeight="1">
      <c r="A16" t="s">
        <v>85</v>
      </c>
      <c r="B16">
        <f>P4</f>
        <v>2492421.4175717221</v>
      </c>
      <c r="C16" s="5">
        <f>P5</f>
        <v>1091917.9543647545</v>
      </c>
      <c r="D16" s="5" t="str">
        <f>(P6+P8) &amp; " / " &amp; (P7+P9)</f>
        <v>4006864,14558197 / 1884745,3386209</v>
      </c>
      <c r="E16" s="5"/>
      <c r="F16" s="5" t="s">
        <v>86</v>
      </c>
      <c r="G16" s="5">
        <f>P7+P9</f>
        <v>1884745.338620902</v>
      </c>
      <c r="H16" s="5" t="s">
        <v>84</v>
      </c>
      <c r="I16" s="5">
        <v>19.5</v>
      </c>
      <c r="J16" s="5">
        <v>15</v>
      </c>
      <c r="K16" s="5"/>
      <c r="L16" s="5"/>
      <c r="M16" s="5"/>
      <c r="N16" s="5"/>
      <c r="O16" s="5"/>
      <c r="P16" s="5"/>
    </row>
    <row r="18" spans="1:16" ht="12" customHeight="1">
      <c r="A18" s="1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</sheetData>
  <mergeCells count="2">
    <mergeCell ref="A1:P1"/>
    <mergeCell ref="A18:P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sqref="A1:J1"/>
    </sheetView>
  </sheetViews>
  <sheetFormatPr baseColWidth="10" defaultColWidth="8.796875" defaultRowHeight="13.8"/>
  <cols>
    <col min="1" max="1" width="28" customWidth="1"/>
    <col min="2" max="2" width="10.5" customWidth="1"/>
    <col min="3" max="3" width="12.3984375" customWidth="1"/>
    <col min="4" max="4" width="14.09765625" customWidth="1"/>
    <col min="5" max="5" width="12.5" customWidth="1"/>
    <col min="6" max="6" width="14.3984375" customWidth="1"/>
    <col min="7" max="7" width="13.5" customWidth="1"/>
    <col min="8" max="8" width="15.296875" customWidth="1"/>
    <col min="9" max="9" width="13.69921875" customWidth="1"/>
    <col min="10" max="10" width="15.59765625" customWidth="1"/>
  </cols>
  <sheetData>
    <row r="1" spans="1:10" ht="13.35" customHeight="1">
      <c r="A1" s="10" t="s">
        <v>87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12" customHeight="1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96</v>
      </c>
      <c r="J3" s="1" t="s">
        <v>97</v>
      </c>
    </row>
    <row r="4" spans="1:10" ht="12" customHeight="1">
      <c r="A4" t="s">
        <v>98</v>
      </c>
      <c r="B4" t="s">
        <v>99</v>
      </c>
      <c r="C4" s="5">
        <v>724299</v>
      </c>
      <c r="D4" s="5">
        <f>IF(C4="","",C4*Annahmen!$C$12)</f>
        <v>1854205.44</v>
      </c>
      <c r="E4" s="5">
        <v>411319</v>
      </c>
      <c r="F4" s="5">
        <f>IF(E4="","",E4*Annahmen!$C$12)</f>
        <v>1052976.6400000001</v>
      </c>
      <c r="G4" s="5">
        <v>604007</v>
      </c>
      <c r="H4" s="5">
        <f>IF(G4="","",G4*Annahmen!$C$12)</f>
        <v>1546257.92</v>
      </c>
      <c r="I4" s="5">
        <v>343013</v>
      </c>
      <c r="J4" s="5">
        <f>IF(I4="","",I4*Annahmen!$C$12)</f>
        <v>878113.28000000003</v>
      </c>
    </row>
    <row r="5" spans="1:10" ht="12" customHeight="1">
      <c r="A5" t="s">
        <v>98</v>
      </c>
      <c r="B5" t="s">
        <v>100</v>
      </c>
      <c r="C5" s="5">
        <v>746963</v>
      </c>
      <c r="D5" s="5">
        <f>IF(C5="","",C5*Annahmen!$C$12)</f>
        <v>1912225.28</v>
      </c>
      <c r="E5" s="5">
        <v>424190</v>
      </c>
      <c r="F5" s="5">
        <f>IF(E5="","",E5*Annahmen!$C$12)</f>
        <v>1085926.3999999999</v>
      </c>
      <c r="G5" s="5">
        <v>622907</v>
      </c>
      <c r="H5" s="5">
        <f>IF(G5="","",G5*Annahmen!$C$12)</f>
        <v>1594641.92</v>
      </c>
      <c r="I5" s="5">
        <v>353746</v>
      </c>
      <c r="J5" s="5">
        <f>IF(I5="","",I5*Annahmen!$C$12)</f>
        <v>905589.76000000001</v>
      </c>
    </row>
    <row r="6" spans="1:10" ht="12" customHeight="1">
      <c r="A6" t="s">
        <v>101</v>
      </c>
      <c r="B6" t="s">
        <v>102</v>
      </c>
      <c r="C6" s="5"/>
      <c r="D6" s="5" t="str">
        <f>IF(C6="","",C6*Annahmen!$C$12)</f>
        <v/>
      </c>
      <c r="E6" s="5"/>
      <c r="F6" s="5" t="str">
        <f>IF(E6="","",E6*Annahmen!$C$12)</f>
        <v/>
      </c>
      <c r="G6" s="5">
        <v>323048</v>
      </c>
      <c r="H6" s="5">
        <f>IF(G6="","",G6*Annahmen!$C$12)</f>
        <v>827002.88</v>
      </c>
      <c r="I6" s="5">
        <v>183458</v>
      </c>
      <c r="J6" s="5">
        <f>IF(I6="","",I6*Annahmen!$C$12)</f>
        <v>469652.47999999998</v>
      </c>
    </row>
    <row r="7" spans="1:10" ht="12" customHeight="1">
      <c r="A7" t="s">
        <v>103</v>
      </c>
      <c r="B7" t="s">
        <v>104</v>
      </c>
      <c r="C7" s="5">
        <v>351270</v>
      </c>
      <c r="D7" s="5">
        <f>IF(C7="","",C7*Annahmen!$C$12)</f>
        <v>899251.20000000007</v>
      </c>
      <c r="E7" s="5">
        <v>168690</v>
      </c>
      <c r="F7" s="5">
        <f>IF(E7="","",E7*Annahmen!$C$12)</f>
        <v>431846.40000000002</v>
      </c>
      <c r="G7" s="5">
        <v>146272</v>
      </c>
      <c r="H7" s="5">
        <f>IF(G7="","",G7*Annahmen!$C$12)</f>
        <v>374456.32000000001</v>
      </c>
      <c r="I7" s="5">
        <v>70245</v>
      </c>
      <c r="J7" s="5">
        <f>IF(I7="","",I7*Annahmen!$C$12)</f>
        <v>179827.20000000001</v>
      </c>
    </row>
    <row r="8" spans="1:10" ht="12" customHeight="1">
      <c r="A8" t="s">
        <v>105</v>
      </c>
      <c r="B8" t="s">
        <v>106</v>
      </c>
      <c r="C8" s="5">
        <v>45128</v>
      </c>
      <c r="D8" s="5">
        <f>IF(C8="","",C8*Annahmen!$C$12)</f>
        <v>115527.68000000001</v>
      </c>
      <c r="E8" s="5">
        <v>16894</v>
      </c>
      <c r="F8" s="5">
        <f>IF(E8="","",E8*Annahmen!$C$12)</f>
        <v>43248.639999999999</v>
      </c>
      <c r="G8" s="5">
        <v>32200</v>
      </c>
      <c r="H8" s="5">
        <f>IF(G8="","",G8*Annahmen!$C$12)</f>
        <v>82432</v>
      </c>
      <c r="I8" s="5">
        <v>13033</v>
      </c>
      <c r="J8" s="5">
        <f>IF(I8="","",I8*Annahmen!$C$12)</f>
        <v>33364.480000000003</v>
      </c>
    </row>
    <row r="9" spans="1:10" ht="12" customHeight="1">
      <c r="A9" t="s">
        <v>105</v>
      </c>
      <c r="B9" t="s">
        <v>107</v>
      </c>
      <c r="C9" s="5">
        <v>51645</v>
      </c>
      <c r="D9" s="5">
        <f>IF(C9="","",C9*Annahmen!$C$12)</f>
        <v>132211.20000000001</v>
      </c>
      <c r="E9" s="5">
        <v>18853</v>
      </c>
      <c r="F9" s="5">
        <f>IF(E9="","",E9*Annahmen!$C$12)</f>
        <v>48263.68</v>
      </c>
      <c r="G9" s="5">
        <v>36649</v>
      </c>
      <c r="H9" s="5">
        <f>IF(G9="","",G9*Annahmen!$C$12)</f>
        <v>93821.440000000002</v>
      </c>
      <c r="I9" s="5">
        <v>14358</v>
      </c>
      <c r="J9" s="5">
        <f>IF(I9="","",I9*Annahmen!$C$12)</f>
        <v>36756.480000000003</v>
      </c>
    </row>
    <row r="10" spans="1:10" ht="12" customHeight="1">
      <c r="A10" t="s">
        <v>108</v>
      </c>
      <c r="B10" t="s">
        <v>109</v>
      </c>
      <c r="C10" s="5">
        <v>540815</v>
      </c>
      <c r="D10" s="5">
        <f>IF(C10="","",C10*Annahmen!$C$12)</f>
        <v>1384486.4000000001</v>
      </c>
      <c r="E10" s="5">
        <v>146614</v>
      </c>
      <c r="F10" s="5">
        <f>IF(E10="","",E10*Annahmen!$C$12)</f>
        <v>375331.84000000003</v>
      </c>
      <c r="G10" s="5">
        <v>6509799</v>
      </c>
      <c r="H10" s="5">
        <f>IF(G10="","",G10*Annahmen!$C$12)</f>
        <v>16665085.439999999</v>
      </c>
      <c r="I10" s="5">
        <v>323132</v>
      </c>
      <c r="J10" s="5">
        <f>IF(I10="","",I10*Annahmen!$C$12)</f>
        <v>827217.92000000004</v>
      </c>
    </row>
    <row r="11" spans="1:10" ht="12" customHeight="1">
      <c r="A11" t="s">
        <v>110</v>
      </c>
      <c r="B11" t="s">
        <v>111</v>
      </c>
      <c r="C11" s="5">
        <v>2066751</v>
      </c>
      <c r="D11" s="5">
        <f>IF(C11="","",C11*Annahmen!$C$12)</f>
        <v>5290882.5600000005</v>
      </c>
      <c r="E11" s="5">
        <v>222020</v>
      </c>
      <c r="F11" s="5">
        <f>IF(E11="","",E11*Annahmen!$C$12)</f>
        <v>568371.20000000007</v>
      </c>
      <c r="G11" s="5">
        <v>1572472</v>
      </c>
      <c r="H11" s="5">
        <f>IF(G11="","",G11*Annahmen!$C$12)</f>
        <v>4025528.3200000003</v>
      </c>
      <c r="I11" s="5">
        <v>205383</v>
      </c>
      <c r="J11" s="5">
        <f>IF(I11="","",I11*Annahmen!$C$12)</f>
        <v>525780.47999999998</v>
      </c>
    </row>
    <row r="12" spans="1:10" ht="12" customHeight="1">
      <c r="A12" t="s">
        <v>110</v>
      </c>
      <c r="B12" t="s">
        <v>112</v>
      </c>
      <c r="C12" s="5"/>
      <c r="D12" s="5" t="str">
        <f>IF(C12="","",C12*Annahmen!$C$12)</f>
        <v/>
      </c>
      <c r="E12" s="5"/>
      <c r="F12" s="5" t="str">
        <f>IF(E12="","",E12*Annahmen!$C$12)</f>
        <v/>
      </c>
      <c r="G12" s="5">
        <v>1041781</v>
      </c>
      <c r="H12" s="5">
        <f>IF(G12="","",G12*Annahmen!$C$12)</f>
        <v>2666959.36</v>
      </c>
      <c r="I12" s="5">
        <v>182364</v>
      </c>
      <c r="J12" s="5">
        <f>IF(I12="","",I12*Annahmen!$C$12)</f>
        <v>466851.84000000003</v>
      </c>
    </row>
    <row r="13" spans="1:10" ht="12" customHeight="1">
      <c r="C13" s="5"/>
      <c r="D13" s="5"/>
      <c r="E13" s="5"/>
      <c r="F13" s="5"/>
      <c r="G13" s="5"/>
      <c r="H13" s="5"/>
      <c r="I13" s="5"/>
      <c r="J13" s="5"/>
    </row>
    <row r="14" spans="1:10" ht="12" customHeight="1">
      <c r="A14" s="8" t="s">
        <v>85</v>
      </c>
      <c r="B14" s="8"/>
      <c r="C14" s="9">
        <f t="shared" ref="C14:J14" si="0">SUM(C4:C12)</f>
        <v>4526871</v>
      </c>
      <c r="D14" s="9">
        <f t="shared" si="0"/>
        <v>11588789.760000002</v>
      </c>
      <c r="E14" s="9">
        <f t="shared" si="0"/>
        <v>1408580</v>
      </c>
      <c r="F14" s="9">
        <f t="shared" si="0"/>
        <v>3605964.8000000003</v>
      </c>
      <c r="G14" s="9">
        <f t="shared" si="0"/>
        <v>10889135</v>
      </c>
      <c r="H14" s="9">
        <f t="shared" si="0"/>
        <v>27876185.600000001</v>
      </c>
      <c r="I14" s="9">
        <f t="shared" si="0"/>
        <v>1688732</v>
      </c>
      <c r="J14" s="9">
        <f t="shared" si="0"/>
        <v>4323153.9199999999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1"/>
    </sheetView>
  </sheetViews>
  <sheetFormatPr baseColWidth="10" defaultColWidth="8.796875" defaultRowHeight="13.8"/>
  <cols>
    <col min="1" max="1" width="42" customWidth="1"/>
    <col min="2" max="2" width="15.5" customWidth="1"/>
    <col min="3" max="3" width="9" customWidth="1"/>
    <col min="4" max="4" width="10.09765625" customWidth="1"/>
    <col min="5" max="5" width="10.19921875" customWidth="1"/>
  </cols>
  <sheetData>
    <row r="1" spans="1:5" ht="13.35" customHeight="1">
      <c r="A1" s="10" t="s">
        <v>113</v>
      </c>
      <c r="B1" s="11"/>
      <c r="C1" s="11"/>
      <c r="D1" s="11"/>
      <c r="E1" s="11"/>
    </row>
    <row r="3" spans="1:5" ht="12" customHeight="1">
      <c r="A3" s="1" t="s">
        <v>114</v>
      </c>
      <c r="B3" s="1" t="s">
        <v>73</v>
      </c>
      <c r="C3" s="1" t="s">
        <v>74</v>
      </c>
      <c r="D3" s="1" t="s">
        <v>115</v>
      </c>
      <c r="E3" s="1" t="s">
        <v>116</v>
      </c>
    </row>
    <row r="4" spans="1:5" ht="12" customHeight="1">
      <c r="A4" t="s">
        <v>117</v>
      </c>
      <c r="B4" s="5">
        <f>Hauptapparate_BM!D14</f>
        <v>11588789.760000002</v>
      </c>
      <c r="C4" s="5">
        <f>Hauptapparate_BM!F14</f>
        <v>3605964.8000000003</v>
      </c>
      <c r="D4" s="5">
        <f>Hauptapparate_BM!H14</f>
        <v>27876185.600000001</v>
      </c>
      <c r="E4" s="5">
        <f>Hauptapparate_BM!J14</f>
        <v>4323153.9199999999</v>
      </c>
    </row>
    <row r="5" spans="1:5" ht="12" customHeight="1">
      <c r="A5" t="s">
        <v>72</v>
      </c>
      <c r="B5" s="5">
        <f>Kolonnenkosten!P4</f>
        <v>2492421.4175717221</v>
      </c>
      <c r="C5" s="5">
        <f>Kolonnenkosten!P5</f>
        <v>1091917.9543647545</v>
      </c>
      <c r="D5" s="5">
        <f>Kolonnenkosten!P6+Kolonnenkosten!P8</f>
        <v>4006864.1455819681</v>
      </c>
      <c r="E5" s="5">
        <f>Kolonnenkosten!P7+Kolonnenkosten!P9</f>
        <v>1884745.338620902</v>
      </c>
    </row>
    <row r="6" spans="1:5" ht="12" customHeight="1">
      <c r="A6" t="s">
        <v>118</v>
      </c>
      <c r="B6" s="5">
        <f>B4+B5</f>
        <v>14081211.177571723</v>
      </c>
      <c r="C6" s="5">
        <f>C4+C5</f>
        <v>4697882.754364755</v>
      </c>
      <c r="D6" s="5">
        <f>D4+D5</f>
        <v>31883049.74558197</v>
      </c>
      <c r="E6" s="5">
        <f>E4+E5</f>
        <v>6207899.258620902</v>
      </c>
    </row>
    <row r="7" spans="1:5" ht="12" customHeight="1">
      <c r="A7" t="s">
        <v>119</v>
      </c>
      <c r="B7" s="5">
        <f>B6*Annahmen!$C$13</f>
        <v>1126496.8942057379</v>
      </c>
      <c r="C7" s="5">
        <f>C6*Annahmen!$C$13</f>
        <v>375830.62034918042</v>
      </c>
      <c r="D7" s="5">
        <f>D6*Annahmen!$C$13</f>
        <v>2550643.9796465575</v>
      </c>
      <c r="E7" s="5">
        <f>E6*Annahmen!$C$13</f>
        <v>496631.94068967219</v>
      </c>
    </row>
    <row r="8" spans="1:5" ht="12" customHeight="1">
      <c r="A8" t="s">
        <v>120</v>
      </c>
      <c r="B8" s="5">
        <f>B6+B7</f>
        <v>15207708.071777461</v>
      </c>
      <c r="C8" s="5">
        <f>C6+C7</f>
        <v>5073713.374713935</v>
      </c>
      <c r="D8" s="5">
        <f>D6+D7</f>
        <v>34433693.725228526</v>
      </c>
      <c r="E8" s="5">
        <f>E6+E7</f>
        <v>6704531.1993105737</v>
      </c>
    </row>
    <row r="9" spans="1:5" ht="12" customHeight="1">
      <c r="A9" t="s">
        <v>121</v>
      </c>
      <c r="B9" s="5">
        <f>B8*Annahmen!$C$14</f>
        <v>3801927.0179443653</v>
      </c>
      <c r="C9" s="5">
        <f>C8*Annahmen!$C$14</f>
        <v>1268428.3436784837</v>
      </c>
      <c r="D9" s="5">
        <f>D8*Annahmen!$C$14</f>
        <v>8608423.4313071314</v>
      </c>
      <c r="E9" s="5">
        <f>E8*Annahmen!$C$14</f>
        <v>1676132.7998276434</v>
      </c>
    </row>
    <row r="10" spans="1:5" ht="12" customHeight="1">
      <c r="A10" t="s">
        <v>122</v>
      </c>
      <c r="B10" s="5">
        <f>B8*Annahmen!$C$15</f>
        <v>1520770.8071777462</v>
      </c>
      <c r="C10" s="5">
        <f>C8*Annahmen!$C$15</f>
        <v>507371.33747139352</v>
      </c>
      <c r="D10" s="5">
        <f>D8*Annahmen!$C$15</f>
        <v>3443369.3725228528</v>
      </c>
      <c r="E10" s="5">
        <f>E8*Annahmen!$C$15</f>
        <v>670453.11993105744</v>
      </c>
    </row>
    <row r="11" spans="1:5" ht="12" customHeight="1">
      <c r="A11" s="8" t="s">
        <v>123</v>
      </c>
      <c r="B11" s="9">
        <f>B8+B9+B10</f>
        <v>20530405.89689957</v>
      </c>
      <c r="C11" s="9">
        <f>C8+C9+C10</f>
        <v>6849513.0558638126</v>
      </c>
      <c r="D11" s="9">
        <f>D8+D9+D10</f>
        <v>46485486.529058509</v>
      </c>
      <c r="E11" s="9">
        <f>E8+E9+E10</f>
        <v>9051117.1190692745</v>
      </c>
    </row>
    <row r="12" spans="1:5" ht="12" customHeight="1">
      <c r="A12" s="8" t="s">
        <v>124</v>
      </c>
      <c r="B12" s="9">
        <f>B11</f>
        <v>20530405.89689957</v>
      </c>
      <c r="C12" s="9">
        <f>C11</f>
        <v>6849513.0558638126</v>
      </c>
      <c r="D12" s="9">
        <f>D11</f>
        <v>46485486.529058509</v>
      </c>
      <c r="E12" s="9">
        <f>E11</f>
        <v>9051117.1190692745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tabSelected="1" workbookViewId="0">
      <selection activeCell="A18" sqref="A18:E18"/>
    </sheetView>
  </sheetViews>
  <sheetFormatPr baseColWidth="10" defaultColWidth="8.796875" defaultRowHeight="13.8"/>
  <cols>
    <col min="1" max="1" width="34" customWidth="1"/>
    <col min="2" max="5" width="18" customWidth="1"/>
  </cols>
  <sheetData>
    <row r="1" spans="1:5" ht="15.3" customHeight="1">
      <c r="A1" s="13" t="s">
        <v>125</v>
      </c>
      <c r="B1" s="11"/>
      <c r="C1" s="11"/>
      <c r="D1" s="11"/>
      <c r="E1" s="11"/>
    </row>
    <row r="3" spans="1:5" ht="12" customHeight="1">
      <c r="A3" s="1" t="s">
        <v>45</v>
      </c>
      <c r="B3" s="1" t="s">
        <v>126</v>
      </c>
      <c r="C3" s="1" t="s">
        <v>127</v>
      </c>
      <c r="D3" s="1" t="s">
        <v>128</v>
      </c>
      <c r="E3" s="1" t="s">
        <v>129</v>
      </c>
    </row>
    <row r="4" spans="1:5" ht="12" customHeight="1">
      <c r="A4" t="s">
        <v>53</v>
      </c>
      <c r="B4" s="5">
        <f>Investitionen!B5</f>
        <v>2492421.4175717221</v>
      </c>
      <c r="C4" s="5">
        <f>Investitionen!B4</f>
        <v>11588789.760000002</v>
      </c>
      <c r="D4" s="5">
        <f>Investitionen!B8</f>
        <v>15207708.071777461</v>
      </c>
      <c r="E4" s="5">
        <f>Investitionen!B11</f>
        <v>20530405.89689957</v>
      </c>
    </row>
    <row r="5" spans="1:5" ht="12" customHeight="1">
      <c r="A5" t="s">
        <v>55</v>
      </c>
      <c r="B5" s="5">
        <f>Investitionen!C5</f>
        <v>1091917.9543647545</v>
      </c>
      <c r="C5" s="5">
        <f>Investitionen!C4</f>
        <v>3605964.8000000003</v>
      </c>
      <c r="D5" s="5">
        <f>Investitionen!C8</f>
        <v>5073713.374713935</v>
      </c>
      <c r="E5" s="5">
        <f>Investitionen!C11</f>
        <v>6849513.0558638126</v>
      </c>
    </row>
    <row r="6" spans="1:5" ht="12" customHeight="1">
      <c r="A6" t="s">
        <v>56</v>
      </c>
      <c r="B6" s="5">
        <f>Investitionen!D5</f>
        <v>4006864.1455819681</v>
      </c>
      <c r="C6" s="5">
        <f>Investitionen!D4</f>
        <v>27876185.600000001</v>
      </c>
      <c r="D6" s="5">
        <f>Investitionen!D8</f>
        <v>34433693.725228526</v>
      </c>
      <c r="E6" s="5">
        <f>Investitionen!D11</f>
        <v>46485486.529058509</v>
      </c>
    </row>
    <row r="7" spans="1:5" ht="12" customHeight="1">
      <c r="A7" t="s">
        <v>58</v>
      </c>
      <c r="B7" s="5">
        <f>Investitionen!E5</f>
        <v>1884745.338620902</v>
      </c>
      <c r="C7" s="5">
        <f>Investitionen!E4</f>
        <v>4323153.9199999999</v>
      </c>
      <c r="D7" s="5">
        <f>Investitionen!E8</f>
        <v>6704531.1993105737</v>
      </c>
      <c r="E7" s="5">
        <f>Investitionen!E11</f>
        <v>9051117.1190692745</v>
      </c>
    </row>
    <row r="10" spans="1:5" ht="12" customHeight="1">
      <c r="A10" s="4" t="s">
        <v>46</v>
      </c>
      <c r="B10" s="4" t="s">
        <v>52</v>
      </c>
      <c r="C10" s="4" t="s">
        <v>130</v>
      </c>
      <c r="D10" s="4" t="s">
        <v>131</v>
      </c>
      <c r="E10" s="4" t="s">
        <v>71</v>
      </c>
    </row>
    <row r="11" spans="1:5" ht="12" customHeight="1">
      <c r="A11" t="str">
        <f>Kolonnenkosten!A4&amp;" - "&amp;Kolonnenkosten!B4</f>
        <v>Einkolonnenmodell groß - Single</v>
      </c>
      <c r="B11" s="7">
        <f>Kolonnenkosten!C4</f>
        <v>2.2000000000000002</v>
      </c>
      <c r="C11" s="5">
        <f>Kolonnenkosten!F4</f>
        <v>70000</v>
      </c>
      <c r="D11" s="5">
        <f>Kolonnenkosten!G4</f>
        <v>25000</v>
      </c>
      <c r="E11" s="5">
        <f>Kolonnenkosten!P4</f>
        <v>2492421.4175717221</v>
      </c>
    </row>
    <row r="12" spans="1:5" ht="12" customHeight="1">
      <c r="A12" t="str">
        <f>Kolonnenkosten!A5&amp;" - "&amp;Kolonnenkosten!B5</f>
        <v>Einkolonnenmodell klein - Single</v>
      </c>
      <c r="B12" s="7">
        <f>Kolonnenkosten!C5</f>
        <v>1.2</v>
      </c>
      <c r="C12" s="5">
        <f>Kolonnenkosten!F5</f>
        <v>25000</v>
      </c>
      <c r="D12" s="5">
        <f>Kolonnenkosten!G5</f>
        <v>15000</v>
      </c>
      <c r="E12" s="5">
        <f>Kolonnenkosten!P5</f>
        <v>1091917.9543647545</v>
      </c>
    </row>
    <row r="13" spans="1:5" ht="12" customHeight="1">
      <c r="A13" t="str">
        <f>Kolonnenkosten!A6&amp;" - "&amp;Kolonnenkosten!B6</f>
        <v>Doppelkolonnenmodell groß - HPC</v>
      </c>
      <c r="B13" s="7">
        <f>Kolonnenkosten!C6</f>
        <v>1.6</v>
      </c>
      <c r="C13" s="5">
        <f>Kolonnenkosten!F6</f>
        <v>45000</v>
      </c>
      <c r="D13" s="5">
        <f>Kolonnenkosten!G6</f>
        <v>18000</v>
      </c>
      <c r="E13" s="5">
        <f>Kolonnenkosten!P6</f>
        <v>1666361.7477479512</v>
      </c>
    </row>
    <row r="14" spans="1:5" ht="12" customHeight="1">
      <c r="A14" t="str">
        <f>Kolonnenkosten!A7&amp;" - "&amp;Kolonnenkosten!B7</f>
        <v>Doppelkolonnenmodell klein - HPC</v>
      </c>
      <c r="B14" s="7">
        <f>Kolonnenkosten!C7</f>
        <v>0.9</v>
      </c>
      <c r="C14" s="5">
        <f>Kolonnenkosten!F7</f>
        <v>20000</v>
      </c>
      <c r="D14" s="5">
        <f>Kolonnenkosten!G7</f>
        <v>12000</v>
      </c>
      <c r="E14" s="5">
        <f>Kolonnenkosten!P7</f>
        <v>873534.36349180352</v>
      </c>
    </row>
    <row r="15" spans="1:5" ht="12" customHeight="1">
      <c r="A15" t="str">
        <f>Kolonnenkosten!A8&amp;" - "&amp;Kolonnenkosten!B8</f>
        <v>Doppelkolonnenmodell groß - LPC</v>
      </c>
      <c r="B15" s="7">
        <f>Kolonnenkosten!C8</f>
        <v>2.1</v>
      </c>
      <c r="C15" s="5">
        <f>Kolonnenkosten!F8</f>
        <v>65000</v>
      </c>
      <c r="D15" s="5">
        <f>Kolonnenkosten!G8</f>
        <v>24000</v>
      </c>
      <c r="E15" s="5">
        <f>Kolonnenkosten!P8</f>
        <v>2340502.3978340169</v>
      </c>
    </row>
    <row r="16" spans="1:5" ht="12" customHeight="1">
      <c r="A16" t="str">
        <f>Kolonnenkosten!A9&amp;" - "&amp;Kolonnenkosten!B9</f>
        <v>Doppelkolonnenmodell klein - LPC</v>
      </c>
      <c r="B16" s="7">
        <f>Kolonnenkosten!C9</f>
        <v>1.1000000000000001</v>
      </c>
      <c r="C16" s="5">
        <f>Kolonnenkosten!F9</f>
        <v>23000</v>
      </c>
      <c r="D16" s="5">
        <f>Kolonnenkosten!G9</f>
        <v>14000</v>
      </c>
      <c r="E16" s="5">
        <f>Kolonnenkosten!P9</f>
        <v>1011210.9751290986</v>
      </c>
    </row>
    <row r="18" spans="1:5" ht="12" customHeight="1">
      <c r="A18" s="12"/>
      <c r="B18" s="11"/>
      <c r="C18" s="11"/>
      <c r="D18" s="11"/>
      <c r="E18" s="11"/>
    </row>
  </sheetData>
  <mergeCells count="2">
    <mergeCell ref="A1:E1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Annahmen</vt:lpstr>
      <vt:lpstr>Durchmesser</vt:lpstr>
      <vt:lpstr>Kolonnenkosten</vt:lpstr>
      <vt:lpstr>Hauptapparate_BM</vt:lpstr>
      <vt:lpstr>Investitionen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Feline Ehresmann</dc:creator>
  <cp:lastModifiedBy>TU-Pseudonym 0374871412442745</cp:lastModifiedBy>
  <dcterms:created xsi:type="dcterms:W3CDTF">2026-06-06T10:45:51Z</dcterms:created>
  <dcterms:modified xsi:type="dcterms:W3CDTF">2026-06-06T10:45:51Z</dcterms:modified>
</cp:coreProperties>
</file>